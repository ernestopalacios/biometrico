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474e2f0e930ab59f/01 JEZO/00 Asistencia Biometrico/JUSTIFICACION NO REGISTRO/12_Diciembre_excel/"/>
    </mc:Choice>
  </mc:AlternateContent>
  <xr:revisionPtr revIDLastSave="1131" documentId="11_AD4D2F04E46CFB4ACB3E20450511C456683EDF15" xr6:coauthVersionLast="47" xr6:coauthVersionMax="47" xr10:uidLastSave="{99A69C29-EF40-4EAF-9920-9D61B1492110}"/>
  <bookViews>
    <workbookView xWindow="-120" yWindow="-120" windowWidth="29040" windowHeight="15840" activeTab="1" xr2:uid="{00000000-000D-0000-FFFF-FFFF00000000}"/>
  </bookViews>
  <sheets>
    <sheet name="Semana_1" sheetId="2" r:id="rId1"/>
    <sheet name="Semana_2" sheetId="5" r:id="rId2"/>
    <sheet name="Semana_3" sheetId="6" r:id="rId3"/>
    <sheet name="Semana_4" sheetId="7" r:id="rId4"/>
  </sheets>
  <definedNames>
    <definedName name="_xlnm.Print_Area" localSheetId="0">Semana_1!$A$1:$H$21</definedName>
    <definedName name="_xlnm.Print_Area" localSheetId="1">Semana_2!$A$1:$H$21</definedName>
    <definedName name="_xlnm.Print_Area" localSheetId="2">Semana_3!$A$1:$H$21</definedName>
    <definedName name="_xlnm.Print_Area" localSheetId="3">Semana_4!$A$1:$H$21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2" l="1"/>
  <c r="G12" i="5"/>
  <c r="F12" i="5"/>
  <c r="G12" i="6"/>
  <c r="F12" i="6"/>
  <c r="G12" i="7"/>
  <c r="F12" i="7"/>
  <c r="E12" i="6"/>
  <c r="E12" i="7"/>
  <c r="E12" i="5"/>
  <c r="D12" i="6"/>
  <c r="D12" i="7"/>
  <c r="D12" i="5"/>
  <c r="C12" i="6"/>
  <c r="C12" i="7"/>
  <c r="B8" i="7" s="1"/>
  <c r="C12" i="5"/>
  <c r="B8" i="5" s="1"/>
  <c r="H21" i="7"/>
  <c r="H21" i="6"/>
  <c r="B8" i="6"/>
  <c r="H21" i="5"/>
  <c r="H21" i="2"/>
  <c r="A13" i="2"/>
  <c r="B8" i="2"/>
  <c r="B14" i="2" a="1"/>
  <c r="B14" i="2" l="1"/>
  <c r="B15" i="2" a="1"/>
  <c r="B15" i="2" l="1"/>
  <c r="A14" i="2"/>
  <c r="B16" i="2" a="1"/>
  <c r="B16" i="2" l="1"/>
  <c r="A15" i="2"/>
  <c r="B17" i="2" a="1"/>
  <c r="B17" i="2" l="1"/>
  <c r="A16" i="2"/>
  <c r="B18" i="2" a="1"/>
  <c r="B18" i="2" l="1"/>
  <c r="A17" i="2"/>
  <c r="B19" i="2" a="1"/>
  <c r="B19" i="2" l="1"/>
  <c r="B13" i="5" s="1"/>
  <c r="H1" i="5" s="1"/>
  <c r="A18" i="2"/>
  <c r="B5" i="2" l="1"/>
  <c r="A19" i="2"/>
  <c r="B14" i="5" a="1"/>
  <c r="A13" i="5" l="1"/>
  <c r="B14" i="5"/>
  <c r="A14" i="5" s="1"/>
  <c r="B15" i="5" a="1"/>
  <c r="B15" i="5" l="1"/>
  <c r="B16" i="5" a="1"/>
  <c r="B16" i="5" l="1"/>
  <c r="A16" i="5" s="1"/>
  <c r="A15" i="5"/>
  <c r="B17" i="5" a="1"/>
  <c r="B17" i="5" l="1"/>
  <c r="B18" i="5" a="1"/>
  <c r="B18" i="5" l="1"/>
  <c r="A18" i="5" s="1"/>
  <c r="A17" i="5"/>
  <c r="B19" i="5" a="1"/>
  <c r="B19" i="5" l="1"/>
  <c r="A19" i="5" l="1"/>
  <c r="B13" i="6"/>
  <c r="B5" i="5"/>
  <c r="B14" i="6" a="1"/>
  <c r="A13" i="6" l="1"/>
  <c r="H1" i="6"/>
  <c r="B14" i="6"/>
  <c r="A14" i="6" s="1"/>
  <c r="B15" i="6" a="1"/>
  <c r="B15" i="6" l="1"/>
  <c r="A15" i="6" s="1"/>
  <c r="B16" i="6" a="1"/>
  <c r="B16" i="6" l="1"/>
  <c r="A16" i="6" s="1"/>
  <c r="B17" i="6" a="1"/>
  <c r="B17" i="6" l="1"/>
  <c r="A17" i="6" s="1"/>
  <c r="B18" i="6" a="1"/>
  <c r="B18" i="6" l="1"/>
  <c r="A18" i="6" s="1"/>
  <c r="B19" i="6" a="1"/>
  <c r="B19" i="6" l="1"/>
  <c r="A19" i="6" l="1"/>
  <c r="B13" i="7"/>
  <c r="H1" i="7" s="1"/>
  <c r="B5" i="6"/>
  <c r="B14" i="7" a="1"/>
  <c r="A13" i="7" l="1"/>
  <c r="B14" i="7"/>
  <c r="A14" i="7" s="1"/>
  <c r="B15" i="7" a="1"/>
  <c r="B15" i="7" l="1"/>
  <c r="B16" i="7" a="1"/>
  <c r="B16" i="7" l="1"/>
  <c r="A16" i="7" s="1"/>
  <c r="A15" i="7"/>
  <c r="B17" i="7" a="1"/>
  <c r="B17" i="7" l="1"/>
  <c r="A17" i="7" s="1"/>
  <c r="B18" i="7" a="1"/>
  <c r="B18" i="7" l="1"/>
  <c r="B19" i="7" a="1"/>
  <c r="B19" i="7" l="1"/>
  <c r="A18" i="7"/>
  <c r="B5" i="7" l="1"/>
  <c r="A19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<sst xmlns="http://schemas.openxmlformats.org/spreadsheetml/2006/main" count="137" uniqueCount="34">
  <si>
    <t>EMPRESA ELÉCTRICA REGIONAL DEL SUR S.A.</t>
  </si>
  <si>
    <t>SUPERINTENDENCIA ADMINISTRATIVA Y DE SERVICIOS GENERALES</t>
  </si>
  <si>
    <t>JUSTIFICACIÓN DE ASISTENCIA</t>
  </si>
  <si>
    <t>Periodo:</t>
  </si>
  <si>
    <t>No Registro:</t>
  </si>
  <si>
    <t>No se registra marcación de Horario de Lunch</t>
  </si>
  <si>
    <t>Motivo:</t>
  </si>
  <si>
    <t>Por trabajos programados fuera del sector urbano</t>
  </si>
  <si>
    <t>Nombres:</t>
  </si>
  <si>
    <t xml:space="preserve">DIA </t>
  </si>
  <si>
    <t>FECHA</t>
  </si>
  <si>
    <t>GEOPE</t>
  </si>
  <si>
    <t>GECOM</t>
  </si>
  <si>
    <t>Mendieta Mendieta Henrry Alexander</t>
  </si>
  <si>
    <t>Vera Sanchez Livio Stalin</t>
  </si>
  <si>
    <t>Maldonado Rojas Pablo Arturo</t>
  </si>
  <si>
    <t>Ambuludi Silva Fausto Joel</t>
  </si>
  <si>
    <t>por contratar</t>
  </si>
  <si>
    <t>No se registra
LUNCH (La Palmira)
Mantenimiento de Red Aérea</t>
  </si>
  <si>
    <t>Sin novedad</t>
  </si>
  <si>
    <t>COMISIÓN SUBSISTENCIA
En Loja
Se retira materiales para mtto.</t>
  </si>
  <si>
    <t>No se registra
LUNCH (El Pangui)
Atención de daños</t>
  </si>
  <si>
    <t>No se registra
LUNCH (El Pangui)
Actividades Comerciales</t>
  </si>
  <si>
    <t>No se registra
LUNCH (San Miguel)
Actividades Comerciales</t>
  </si>
  <si>
    <t>No se registra
LUNCH (Michanunka)
Mantenimiento de Red Aérea</t>
  </si>
  <si>
    <t>fin contrato</t>
  </si>
  <si>
    <t>No se registra
LUNCH (Tundayme)
Mantenimiento de Red Aérea</t>
  </si>
  <si>
    <t>No se registra
LUNCH (Roldós)
Mantenimiento de Red Aérea</t>
  </si>
  <si>
    <t>No se registra
LUNCH (Roldós)
Actividades Comerciales</t>
  </si>
  <si>
    <t>PERMISO OFICIAL 
Energía Vital</t>
  </si>
  <si>
    <t>No se registra 
LUNCH</t>
  </si>
  <si>
    <t>PERMISO PERSONAL 
CG-Web # 6635</t>
  </si>
  <si>
    <t>PERMISO OFICIAL
Energía Vital</t>
  </si>
  <si>
    <t>COMISION
Subsistencia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</si>
</sst>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2"/>
      <color theme="1"/>
      <name val="Times New Roman"/>
      <family val="1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vertical="center" wrapText="1"/>
    </xf>
    <xf numFmtId="14" fontId="6" fillId="2" borderId="8" xfId="0" applyNumberFormat="1" applyFont="1" applyFill="1" applyBorder="1" applyAlignment="1" applyProtection="1">
      <alignment horizontal="left" vertical="center" indent="1"/>
      <protection locked="0"/>
    </xf>
    <xf numFmtId="164" fontId="3" fillId="0" borderId="0" xfId="0" applyNumberFormat="1" applyFont="1"/>
    <xf numFmtId="164" fontId="3" fillId="0" borderId="0" xfId="0" applyNumberFormat="1" applyFont="1" applyAlignment="1">
      <alignment vertical="top"/>
    </xf>
    <xf numFmtId="0" fontId="1" fillId="0" borderId="0" xfId="0" applyFont="1"/>
    <xf numFmtId="0" fontId="3" fillId="0" borderId="0" xfId="0" applyFont="1" applyAlignment="1">
      <alignment horizontal="right" indent="1"/>
    </xf>
    <xf numFmtId="0" fontId="2" fillId="0" borderId="0" xfId="0" applyFont="1"/>
    <xf numFmtId="0" fontId="8" fillId="2" borderId="16" xfId="0" applyFont="1" applyFill="1" applyBorder="1" applyAlignment="1">
      <alignment vertical="center"/>
    </xf>
    <xf numFmtId="0" fontId="3" fillId="0" borderId="7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1"/>
    </xf>
    <xf numFmtId="0" fontId="3" fillId="0" borderId="4" xfId="0" applyFont="1" applyBorder="1" applyAlignment="1">
      <alignment horizontal="left" vertical="center" indent="1"/>
    </xf>
    <xf numFmtId="14" fontId="6" fillId="2" borderId="3" xfId="0" applyNumberFormat="1" applyFont="1" applyFill="1" applyBorder="1" applyAlignment="1">
      <alignment horizontal="left" vertical="center" indent="1"/>
    </xf>
    <xf numFmtId="14" fontId="6" fillId="2" borderId="6" xfId="0" applyNumberFormat="1" applyFont="1" applyFill="1" applyBorder="1" applyAlignment="1">
      <alignment horizontal="left" vertical="center" inden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7" fillId="2" borderId="12" xfId="0" applyFont="1" applyFill="1" applyBorder="1" applyAlignment="1" applyProtection="1">
      <alignment horizontal="left" vertical="center" wrapText="1" indent="2"/>
      <protection locked="0"/>
    </xf>
    <xf numFmtId="0" fontId="7" fillId="2" borderId="4" xfId="0" applyFont="1" applyFill="1" applyBorder="1" applyAlignment="1" applyProtection="1">
      <alignment horizontal="left" vertical="center" wrapText="1" indent="2"/>
      <protection locked="0"/>
    </xf>
    <xf numFmtId="0" fontId="7" fillId="2" borderId="5" xfId="0" applyFont="1" applyFill="1" applyBorder="1" applyAlignment="1" applyProtection="1">
      <alignment horizontal="left" vertical="center" wrapText="1" indent="2"/>
      <protection locked="0"/>
    </xf>
    <xf numFmtId="0" fontId="7" fillId="2" borderId="17" xfId="0" applyFont="1" applyFill="1" applyBorder="1" applyAlignment="1" applyProtection="1">
      <alignment horizontal="left" vertical="center" wrapText="1" indent="2"/>
      <protection locked="0"/>
    </xf>
    <xf numFmtId="0" fontId="7" fillId="2" borderId="19" xfId="0" applyFont="1" applyFill="1" applyBorder="1" applyAlignment="1">
      <alignment horizontal="left" vertical="center" wrapText="1" indent="2"/>
    </xf>
    <xf numFmtId="0" fontId="7" fillId="2" borderId="19" xfId="0" applyFont="1" applyFill="1" applyBorder="1" applyAlignment="1" applyProtection="1">
      <alignment horizontal="left" vertical="center" wrapText="1" indent="2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18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20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7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5" fillId="0" borderId="23" xfId="0" applyFont="1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 applyProtection="1">
      <alignment horizontal="center" vertical="center" wrapText="1"/>
      <protection locked="0"/>
    </xf>
    <xf numFmtId="0" fontId="5" fillId="0" borderId="25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 wrapText="1"/>
      <protection locked="0"/>
    </xf>
    <xf numFmtId="0" fontId="5" fillId="0" borderId="28" xfId="0" applyFont="1" applyBorder="1" applyAlignment="1" applyProtection="1">
      <alignment horizontal="center" vertical="center" wrapText="1"/>
      <protection locked="0"/>
    </xf>
    <xf numFmtId="0" fontId="5" fillId="0" borderId="29" xfId="0" applyFont="1" applyBorder="1" applyAlignment="1" applyProtection="1">
      <alignment horizontal="center" vertical="center" wrapText="1"/>
      <protection locked="0"/>
    </xf>
    <xf numFmtId="0" fontId="5" fillId="0" borderId="30" xfId="0" applyFont="1" applyBorder="1" applyAlignment="1" applyProtection="1">
      <alignment horizontal="center" vertical="center" wrapText="1"/>
      <protection locked="0"/>
    </xf>
    <xf numFmtId="14" fontId="6" fillId="2" borderId="31" xfId="0" applyNumberFormat="1" applyFont="1" applyFill="1" applyBorder="1" applyAlignment="1" applyProtection="1">
      <alignment horizontal="left" vertical="center" indent="1"/>
      <protection locked="0"/>
    </xf>
    <xf numFmtId="14" fontId="6" fillId="2" borderId="18" xfId="0" applyNumberFormat="1" applyFont="1" applyFill="1" applyBorder="1" applyAlignment="1">
      <alignment horizontal="left" vertical="center" indent="1"/>
    </xf>
    <xf numFmtId="14" fontId="6" fillId="2" borderId="17" xfId="0" applyNumberFormat="1" applyFont="1" applyFill="1" applyBorder="1" applyAlignment="1">
      <alignment horizontal="left" vertical="center" indent="1"/>
    </xf>
    <xf numFmtId="0" fontId="5" fillId="0" borderId="32" xfId="0" applyFont="1" applyBorder="1" applyAlignment="1" applyProtection="1">
      <alignment horizontal="center" vertical="center" wrapText="1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33" xfId="0" applyFont="1" applyBorder="1" applyAlignment="1" applyProtection="1">
      <alignment horizontal="center" vertical="center"/>
      <protection locked="0"/>
    </xf>
    <xf numFmtId="0" fontId="7" fillId="2" borderId="34" xfId="0" applyFont="1" applyFill="1" applyBorder="1" applyAlignment="1" applyProtection="1">
      <alignment horizontal="left" vertical="center" wrapText="1" indent="2"/>
      <protection locked="0"/>
    </xf>
    <xf numFmtId="0" fontId="7" fillId="2" borderId="35" xfId="0" applyFont="1" applyFill="1" applyBorder="1" applyAlignment="1" applyProtection="1">
      <alignment horizontal="left" vertical="center" wrapText="1" indent="2"/>
      <protection locked="0"/>
    </xf>
    <xf numFmtId="0" fontId="7" fillId="2" borderId="36" xfId="0" applyFont="1" applyFill="1" applyBorder="1" applyAlignment="1" applyProtection="1">
      <alignment horizontal="left" vertical="center" wrapText="1" indent="2"/>
      <protection locked="0"/>
    </xf>
    <xf numFmtId="0" fontId="8" fillId="2" borderId="14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49494"/>
      </font>
    </dxf>
    <dxf>
      <font>
        <color rgb="FF949494"/>
      </font>
    </dxf>
    <dxf>
      <font>
        <color rgb="FF949494"/>
      </font>
    </dxf>
    <dxf>
      <font>
        <color rgb="FF949494"/>
      </font>
    </dxf>
  </dxfs>
  <tableStyles count="0" defaultTableStyle="TableStyleMedium2" defaultPivotStyle="PivotStyleLight16"/>
  <colors>
    <mruColors>
      <color rgb="FF9494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4</xdr:row>
      <xdr:rowOff>180974</xdr:rowOff>
    </xdr:from>
    <xdr:to>
      <xdr:col>8</xdr:col>
      <xdr:colOff>76199</xdr:colOff>
      <xdr:row>8</xdr:row>
      <xdr:rowOff>190499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52C0740-92F4-4C11-BC49-DC8FE3A2466C}"/>
            </a:ext>
          </a:extLst>
        </xdr:cNvPr>
        <xdr:cNvSpPr txBox="1"/>
      </xdr:nvSpPr>
      <xdr:spPr>
        <a:xfrm>
          <a:off x="7343775" y="1133474"/>
          <a:ext cx="4648199" cy="771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Ins="0" rtlCol="0" anchor="b"/>
        <a:lstStyle/>
        <a:p>
          <a:r>
            <a:rPr lang="es-EC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________________________</a:t>
          </a:r>
          <a:r>
            <a:rPr lang="es-EC" sz="1100" b="1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_______________________</a:t>
          </a:r>
        </a:p>
        <a:p>
          <a:r>
            <a:rPr lang="es-EC" sz="1100">
              <a:latin typeface="Times New Roman" panose="02020603050405020304" pitchFamily="18" charset="0"/>
              <a:cs typeface="Times New Roman" panose="02020603050405020304" pitchFamily="18" charset="0"/>
            </a:rPr>
            <a:t>        Ing.</a:t>
          </a:r>
          <a:r>
            <a:rPr lang="es-EC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Ernesto Palacios                                             Ing. Andrew Quezada</a:t>
          </a:r>
          <a:br>
            <a:rPr lang="es-EC" sz="1100" baseline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s-EC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Jefe Zonal Zamora                                              Ingeniero Uno Zamora (s)</a:t>
          </a:r>
          <a:endParaRPr lang="es-EC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4</xdr:row>
      <xdr:rowOff>180974</xdr:rowOff>
    </xdr:from>
    <xdr:to>
      <xdr:col>8</xdr:col>
      <xdr:colOff>76199</xdr:colOff>
      <xdr:row>8</xdr:row>
      <xdr:rowOff>190499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D701D6F-7E72-4968-8EFA-4758D5A701B7}"/>
            </a:ext>
          </a:extLst>
        </xdr:cNvPr>
        <xdr:cNvSpPr txBox="1"/>
      </xdr:nvSpPr>
      <xdr:spPr>
        <a:xfrm>
          <a:off x="7343775" y="1133474"/>
          <a:ext cx="4648199" cy="771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Ins="0" rtlCol="0" anchor="b"/>
        <a:lstStyle/>
        <a:p>
          <a:r>
            <a:rPr lang="es-EC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________________________</a:t>
          </a:r>
          <a:r>
            <a:rPr lang="es-EC" sz="1100" b="1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_______________________</a:t>
          </a:r>
        </a:p>
        <a:p>
          <a:r>
            <a:rPr lang="es-EC" sz="1100">
              <a:latin typeface="Times New Roman" panose="02020603050405020304" pitchFamily="18" charset="0"/>
              <a:cs typeface="Times New Roman" panose="02020603050405020304" pitchFamily="18" charset="0"/>
            </a:rPr>
            <a:t>        Ing.</a:t>
          </a:r>
          <a:r>
            <a:rPr lang="es-EC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Ernesto Palacios                                             Ing. Andrew Quezada</a:t>
          </a:r>
          <a:br>
            <a:rPr lang="es-EC" sz="1100" baseline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s-EC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Jefe Zonal Zamora                                              Ingeniero Uno Zamora (s)</a:t>
          </a:r>
          <a:endParaRPr lang="es-EC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4</xdr:row>
      <xdr:rowOff>180974</xdr:rowOff>
    </xdr:from>
    <xdr:to>
      <xdr:col>8</xdr:col>
      <xdr:colOff>76199</xdr:colOff>
      <xdr:row>8</xdr:row>
      <xdr:rowOff>190499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46DA590-3EEA-4D45-B403-F8887CDA6E71}"/>
            </a:ext>
          </a:extLst>
        </xdr:cNvPr>
        <xdr:cNvSpPr txBox="1"/>
      </xdr:nvSpPr>
      <xdr:spPr>
        <a:xfrm>
          <a:off x="7343775" y="1133474"/>
          <a:ext cx="4648199" cy="771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Ins="0" rtlCol="0" anchor="b"/>
        <a:lstStyle/>
        <a:p>
          <a:r>
            <a:rPr lang="es-EC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________________________</a:t>
          </a:r>
          <a:r>
            <a:rPr lang="es-EC" sz="1100" b="1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_______________________</a:t>
          </a:r>
        </a:p>
        <a:p>
          <a:r>
            <a:rPr lang="es-EC" sz="1100">
              <a:latin typeface="Times New Roman" panose="02020603050405020304" pitchFamily="18" charset="0"/>
              <a:cs typeface="Times New Roman" panose="02020603050405020304" pitchFamily="18" charset="0"/>
            </a:rPr>
            <a:t>        Ing.</a:t>
          </a:r>
          <a:r>
            <a:rPr lang="es-EC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Ernesto Palacios                                             Ing. Andrew Quezada</a:t>
          </a:r>
          <a:br>
            <a:rPr lang="es-EC" sz="1100" baseline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s-EC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Jefe Zonal Zamora                                              Ingeniero Uno Zamora (s)</a:t>
          </a:r>
          <a:endParaRPr lang="es-EC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4</xdr:row>
      <xdr:rowOff>180974</xdr:rowOff>
    </xdr:from>
    <xdr:to>
      <xdr:col>8</xdr:col>
      <xdr:colOff>76199</xdr:colOff>
      <xdr:row>8</xdr:row>
      <xdr:rowOff>190499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2D0DBE6-3233-4243-AB98-603AF47FED64}"/>
            </a:ext>
          </a:extLst>
        </xdr:cNvPr>
        <xdr:cNvSpPr txBox="1"/>
      </xdr:nvSpPr>
      <xdr:spPr>
        <a:xfrm>
          <a:off x="7343775" y="1133474"/>
          <a:ext cx="4648199" cy="771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Ins="0" rtlCol="0" anchor="b"/>
        <a:lstStyle/>
        <a:p>
          <a:r>
            <a:rPr lang="es-EC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________________________</a:t>
          </a:r>
          <a:r>
            <a:rPr lang="es-EC" sz="1100" b="1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_______________________</a:t>
          </a:r>
        </a:p>
        <a:p>
          <a:r>
            <a:rPr lang="es-EC" sz="1100">
              <a:latin typeface="Times New Roman" panose="02020603050405020304" pitchFamily="18" charset="0"/>
              <a:cs typeface="Times New Roman" panose="02020603050405020304" pitchFamily="18" charset="0"/>
            </a:rPr>
            <a:t>        Ing.</a:t>
          </a:r>
          <a:r>
            <a:rPr lang="es-EC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Ernesto Palacios                                             Ing. Andrew Quezada</a:t>
          </a:r>
          <a:br>
            <a:rPr lang="es-EC" sz="1100" baseline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s-EC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Jefe Zonal Zamora                                              Ingeniero Uno Zamora (s)</a:t>
          </a:r>
          <a:endParaRPr lang="es-EC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FD95-CE65-4EDE-9E94-49306C53EF1E}">
  <dimension ref="A1:I21"/>
  <sheetViews>
    <sheetView zoomScaleNormal="100" zoomScaleSheetLayoutView="100" workbookViewId="0">
      <selection activeCell="C13" sqref="C13"/>
    </sheetView>
  </sheetViews>
  <sheetFormatPr defaultColWidth="9.140625" defaultRowHeight="15"/>
  <cols>
    <col min="1" max="1" width="14.7109375" customWidth="1"/>
    <col min="2" max="2" width="13.140625" customWidth="1"/>
    <col min="3" max="8" width="25.140625" customWidth="1"/>
  </cols>
  <sheetData>
    <row r="1" spans="1:9" s="2" customFormat="1" ht="18.75">
      <c r="A1" s="9" t="s">
        <v>0</v>
      </c>
      <c r="H1" s="10" t="str">
        <f ca="1">"Parte Nro: " &amp; TEXT(MONTH(B13),"000") &amp;"."&amp;TEXT(_xlfn.SHEET(),"00") &amp; "-2025-JZZ-GEOPE"</f>
        <v>Parte Nro: 012.01-2025-JZZ-GEOPE</v>
      </c>
    </row>
    <row r="2" spans="1:9" s="2" customFormat="1" ht="18.75">
      <c r="A2" s="1" t="s">
        <v>1</v>
      </c>
    </row>
    <row r="3" spans="1:9" s="2" customFormat="1" ht="18.75">
      <c r="A3" s="11" t="s">
        <v>2</v>
      </c>
    </row>
    <row r="4" spans="1:9" s="2" customFormat="1" ht="18.75">
      <c r="A4" s="11"/>
    </row>
    <row r="5" spans="1:9" s="2" customFormat="1">
      <c r="A5" s="3" t="s">
        <v>3</v>
      </c>
      <c r="B5" s="2" t="str">
        <f ca="1">IF(MONTH(B13)&lt;&gt;MONTH(B19),"Semana del "&amp; TEXT(B13,"dddd, dd \d\e mmmm") &amp; " al " &amp; TEXT(B19,"dddd, dd \d\e mmmm"),"Semana del "&amp; TEXT(B13,"dddd, dd") &amp; " al " &amp; TEXT(B19,"dddd, dd \d\e mmmm"))</f>
        <v>Semana del lunes, 01 al domingo, 07 de diciembre</v>
      </c>
    </row>
    <row r="6" spans="1:9" s="2" customFormat="1">
      <c r="A6" s="3" t="s">
        <v>4</v>
      </c>
      <c r="B6" s="2" t="s">
        <v>5</v>
      </c>
    </row>
    <row r="7" spans="1:9" s="2" customFormat="1">
      <c r="A7" s="3" t="s">
        <v>6</v>
      </c>
      <c r="B7" s="2" t="s">
        <v>7</v>
      </c>
    </row>
    <row r="8" spans="1:9" s="2" customFormat="1" ht="15" customHeight="1">
      <c r="A8" s="3" t="s">
        <v>8</v>
      </c>
      <c r="B8" s="59" t="str">
        <f>_xlfn.TEXTJOIN(", ", TRUE, C12:H12)</f>
        <v>Mendieta Mendieta Henrry Alexander, Vera Sanchez Livio Stalin, Maldonado Rojas Pablo Arturo, Ambuludi Silva Fausto Joel, por contratar</v>
      </c>
      <c r="C8" s="59"/>
      <c r="D8" s="59"/>
      <c r="E8" s="59"/>
      <c r="H8" s="10"/>
    </row>
    <row r="9" spans="1:9" s="2" customFormat="1">
      <c r="A9" s="3"/>
      <c r="B9" s="59"/>
      <c r="C9" s="59"/>
      <c r="D9" s="59"/>
      <c r="E9" s="59"/>
      <c r="I9" s="7"/>
    </row>
    <row r="10" spans="1:9" s="2" customFormat="1" ht="15.75" thickBot="1">
      <c r="B10" s="60"/>
      <c r="C10" s="60"/>
      <c r="D10" s="60"/>
      <c r="E10" s="60"/>
    </row>
    <row r="11" spans="1:9" s="3" customFormat="1" ht="21.75" customHeight="1">
      <c r="A11" s="61" t="s">
        <v>9</v>
      </c>
      <c r="B11" s="63" t="s">
        <v>10</v>
      </c>
      <c r="C11" s="57" t="s">
        <v>11</v>
      </c>
      <c r="D11" s="65"/>
      <c r="E11" s="65"/>
      <c r="F11" s="57" t="s">
        <v>12</v>
      </c>
      <c r="G11" s="58"/>
      <c r="H11" s="12"/>
      <c r="I11" s="5"/>
    </row>
    <row r="12" spans="1:9" s="3" customFormat="1" ht="37.5" customHeight="1">
      <c r="A12" s="62"/>
      <c r="B12" s="64"/>
      <c r="C12" s="54" t="s">
        <v>13</v>
      </c>
      <c r="D12" s="55" t="s">
        <v>14</v>
      </c>
      <c r="E12" s="56" t="s">
        <v>15</v>
      </c>
      <c r="F12" s="19" t="s">
        <v>16</v>
      </c>
      <c r="G12" s="24" t="s">
        <v>17</v>
      </c>
      <c r="H12" s="23"/>
      <c r="I12" s="5"/>
    </row>
    <row r="13" spans="1:9" s="2" customFormat="1" ht="57.95" customHeight="1">
      <c r="A13" s="13" t="str">
        <f>IF(B13&gt;0,UPPER(TEXT(B13,"dddd")),"")</f>
        <v>LUNES</v>
      </c>
      <c r="B13" s="48">
        <v>45992</v>
      </c>
      <c r="C13" s="40" t="s">
        <v>18</v>
      </c>
      <c r="D13" s="41" t="s">
        <v>18</v>
      </c>
      <c r="E13" s="42" t="s">
        <v>18</v>
      </c>
      <c r="F13" s="51" t="s">
        <v>18</v>
      </c>
      <c r="G13" s="28"/>
      <c r="H13" s="29"/>
    </row>
    <row r="14" spans="1:9" s="2" customFormat="1" ht="57.95" customHeight="1">
      <c r="A14" s="14" t="str">
        <f t="shared" ref="A14:A19" ca="1" si="0">IF(B14&gt;0,UPPER(TEXT(B14,"dddd")),"")</f>
        <v>MARTES</v>
      </c>
      <c r="B14" s="49" cm="1">
        <f t="array" aca="1" ref="B14" ca="1">INDIRECT(ADDRESS(ROW()-1,COLUMN()))+1</f>
        <v>45993</v>
      </c>
      <c r="C14" s="43" t="s">
        <v>19</v>
      </c>
      <c r="D14" s="18" t="s">
        <v>20</v>
      </c>
      <c r="E14" s="44" t="s">
        <v>19</v>
      </c>
      <c r="F14" s="51" t="s">
        <v>19</v>
      </c>
      <c r="G14" s="32"/>
      <c r="H14" s="33"/>
    </row>
    <row r="15" spans="1:9" s="2" customFormat="1" ht="57.95" customHeight="1">
      <c r="A15" s="14" t="str">
        <f t="shared" ca="1" si="0"/>
        <v>MIÉRCOLES</v>
      </c>
      <c r="B15" s="49" cm="1">
        <f t="array" aca="1" ref="B15" ca="1">INDIRECT(ADDRESS(ROW()-1,COLUMN()))+1</f>
        <v>45994</v>
      </c>
      <c r="C15" s="43" t="s">
        <v>21</v>
      </c>
      <c r="D15" s="18" t="s">
        <v>22</v>
      </c>
      <c r="E15" s="44" t="s">
        <v>21</v>
      </c>
      <c r="F15" s="51" t="s">
        <v>22</v>
      </c>
      <c r="G15" s="32"/>
      <c r="H15" s="33"/>
    </row>
    <row r="16" spans="1:9" s="2" customFormat="1" ht="57.95" customHeight="1">
      <c r="A16" s="14" t="str">
        <f t="shared" ca="1" si="0"/>
        <v>JUEVES</v>
      </c>
      <c r="B16" s="49" cm="1">
        <f t="array" aca="1" ref="B16" ca="1">INDIRECT(ADDRESS(ROW()-1,COLUMN()))+1</f>
        <v>45995</v>
      </c>
      <c r="C16" s="43" t="s">
        <v>19</v>
      </c>
      <c r="D16" s="18" t="s">
        <v>22</v>
      </c>
      <c r="E16" s="44" t="s">
        <v>19</v>
      </c>
      <c r="F16" s="51" t="s">
        <v>22</v>
      </c>
      <c r="G16" s="32"/>
      <c r="H16" s="33"/>
    </row>
    <row r="17" spans="1:8" s="2" customFormat="1" ht="57.95" customHeight="1">
      <c r="A17" s="14" t="str">
        <f t="shared" ca="1" si="0"/>
        <v>VIERNES</v>
      </c>
      <c r="B17" s="49" cm="1">
        <f t="array" aca="1" ref="B17" ca="1">INDIRECT(ADDRESS(ROW()-1,COLUMN()))+1</f>
        <v>45996</v>
      </c>
      <c r="C17" s="43" t="s">
        <v>19</v>
      </c>
      <c r="D17" s="18" t="s">
        <v>23</v>
      </c>
      <c r="E17" s="44" t="s">
        <v>19</v>
      </c>
      <c r="F17" s="51" t="s">
        <v>23</v>
      </c>
      <c r="G17" s="32"/>
      <c r="H17" s="33"/>
    </row>
    <row r="18" spans="1:8" s="2" customFormat="1" ht="57.95" customHeight="1">
      <c r="A18" s="14" t="str">
        <f t="shared" ca="1" si="0"/>
        <v>SÁBADO</v>
      </c>
      <c r="B18" s="49" cm="1">
        <f t="array" aca="1" ref="B18" ca="1">INDIRECT(ADDRESS(ROW()-1,COLUMN()))+1</f>
        <v>45997</v>
      </c>
      <c r="C18" s="43"/>
      <c r="D18" s="18"/>
      <c r="E18" s="44"/>
      <c r="F18" s="52"/>
      <c r="G18" s="32"/>
      <c r="H18" s="33"/>
    </row>
    <row r="19" spans="1:8" s="2" customFormat="1" ht="57.95" customHeight="1">
      <c r="A19" s="15" t="str">
        <f t="shared" ca="1" si="0"/>
        <v>DOMINGO</v>
      </c>
      <c r="B19" s="50" cm="1">
        <f t="array" aca="1" ref="B19" ca="1">INDIRECT(ADDRESS(ROW()-1,COLUMN()))+1</f>
        <v>45998</v>
      </c>
      <c r="C19" s="45"/>
      <c r="D19" s="46"/>
      <c r="E19" s="47"/>
      <c r="F19" s="53"/>
      <c r="G19" s="38"/>
      <c r="H19" s="39"/>
    </row>
    <row r="20" spans="1:8" s="2" customFormat="1"/>
    <row r="21" spans="1:8" s="2" customFormat="1">
      <c r="F21" s="4"/>
      <c r="G21" s="8"/>
      <c r="H21" s="4" t="str">
        <f ca="1">_xlfn.TEXTJOIN("  ",TRUE,"Fecha de elaboracion:",TEXT(NOW(),"dddd, dd \d\e mmmm yyyy"))</f>
        <v>Fecha de elaboracion:  martes, 16 de diciembre 2025</v>
      </c>
    </row>
  </sheetData>
  <sheetProtection sheet="1" objects="1"/>
  <mergeCells count="5">
    <mergeCell ref="F11:G11"/>
    <mergeCell ref="B8:E10"/>
    <mergeCell ref="A11:A12"/>
    <mergeCell ref="B11:B12"/>
    <mergeCell ref="C11:E11"/>
  </mergeCells>
  <conditionalFormatting sqref="C13:H19">
    <cfRule type="cellIs" dxfId="3" priority="4" operator="equal">
      <formula>"Sin novedad"</formula>
    </cfRule>
  </conditionalFormatting>
  <pageMargins left="0.47244094488188981" right="0.27559055118110237" top="0.31496062992125984" bottom="0.98425196850393704" header="0.15748031496062992" footer="0.31496062992125984"/>
  <pageSetup paperSize="9" scale="77" orientation="landscape" r:id="rId1"/>
  <headerFooter>
    <oddFooter>&amp;L&amp;G&amp;R&amp;G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1B5D-6F71-4EC3-877C-039BEF27E058}">
  <dimension ref="A1:I21"/>
  <sheetViews>
    <sheetView tabSelected="1" zoomScaleNormal="100" zoomScaleSheetLayoutView="100" workbookViewId="0">
      <selection activeCell="F17" sqref="F17"/>
    </sheetView>
  </sheetViews>
  <sheetFormatPr defaultColWidth="9.140625" defaultRowHeight="15"/>
  <cols>
    <col min="1" max="1" width="14.7109375" customWidth="1"/>
    <col min="2" max="2" width="13.140625" customWidth="1"/>
    <col min="3" max="8" width="25.140625" customWidth="1"/>
  </cols>
  <sheetData>
    <row r="1" spans="1:9" s="2" customFormat="1" ht="18.75">
      <c r="A1" s="9" t="s">
        <v>0</v>
      </c>
      <c r="H1" s="10" t="str">
        <f ca="1">"Parte Nro: " &amp; TEXT(MONTH(B13),"000") &amp;"."&amp;TEXT(_xlfn.SHEET(),"00") &amp; "-2025-JZZ-GEOPE"</f>
        <v>Parte Nro: 012.02-2025-JZZ-GEOPE</v>
      </c>
    </row>
    <row r="2" spans="1:9" s="2" customFormat="1" ht="18.75">
      <c r="A2" s="1" t="s">
        <v>1</v>
      </c>
    </row>
    <row r="3" spans="1:9" s="2" customFormat="1" ht="18.75">
      <c r="A3" s="11" t="s">
        <v>2</v>
      </c>
    </row>
    <row r="4" spans="1:9" s="2" customFormat="1" ht="18.75">
      <c r="A4" s="11"/>
    </row>
    <row r="5" spans="1:9" s="2" customFormat="1">
      <c r="A5" s="3" t="s">
        <v>3</v>
      </c>
      <c r="B5" s="2" t="str">
        <f ca="1">IF(MONTH(B13)&lt;&gt;MONTH(B19),"Semana del "&amp; TEXT(B13,"dddd, dd \d\e mmmm") &amp; " al " &amp; TEXT(B19,"dddd, dd \d\e mmmm"),"Semana del "&amp; TEXT(B13,"dddd, dd") &amp; " al " &amp; TEXT(B19,"dddd, dd \d\e mmmm"))</f>
        <v>Semana del lunes, 08 al domingo, 14 de diciembre</v>
      </c>
    </row>
    <row r="6" spans="1:9" s="2" customFormat="1">
      <c r="A6" s="3" t="s">
        <v>4</v>
      </c>
      <c r="B6" s="2" t="s">
        <v>5</v>
      </c>
    </row>
    <row r="7" spans="1:9" s="2" customFormat="1">
      <c r="A7" s="3" t="s">
        <v>6</v>
      </c>
      <c r="B7" s="2" t="s">
        <v>7</v>
      </c>
    </row>
    <row r="8" spans="1:9" s="2" customFormat="1" ht="15" customHeight="1">
      <c r="A8" s="3" t="s">
        <v>8</v>
      </c>
      <c r="B8" s="59" t="str">
        <f>_xlfn.TEXTJOIN(", ", TRUE, C12:H12)</f>
        <v>Mendieta Mendieta Henrry Alexander, Vera Sanchez Livio Stalin, Maldonado Rojas Pablo Arturo, Ambuludi Silva Fausto Joel, por contratar</v>
      </c>
      <c r="C8" s="59"/>
      <c r="D8" s="59"/>
      <c r="E8" s="59"/>
      <c r="H8" s="10"/>
    </row>
    <row r="9" spans="1:9" s="2" customFormat="1">
      <c r="A9" s="3"/>
      <c r="B9" s="59"/>
      <c r="C9" s="59"/>
      <c r="D9" s="59"/>
      <c r="E9" s="59"/>
      <c r="I9" s="7"/>
    </row>
    <row r="10" spans="1:9" s="2" customFormat="1" ht="15.75" thickBot="1">
      <c r="B10" s="60"/>
      <c r="C10" s="60"/>
      <c r="D10" s="60"/>
      <c r="E10" s="60"/>
    </row>
    <row r="11" spans="1:9" s="3" customFormat="1" ht="21.75" customHeight="1">
      <c r="A11" s="61" t="s">
        <v>9</v>
      </c>
      <c r="B11" s="63" t="s">
        <v>10</v>
      </c>
      <c r="C11" s="57" t="s">
        <v>11</v>
      </c>
      <c r="D11" s="65"/>
      <c r="E11" s="65"/>
      <c r="F11" s="57" t="s">
        <v>12</v>
      </c>
      <c r="G11" s="58"/>
      <c r="H11" s="12"/>
      <c r="I11" s="5"/>
    </row>
    <row r="12" spans="1:9" s="3" customFormat="1" ht="37.5" customHeight="1" thickBot="1">
      <c r="A12" s="62"/>
      <c r="B12" s="64"/>
      <c r="C12" s="20" t="str">
        <f>Semana_1!C12</f>
        <v>Mendieta Mendieta Henrry Alexander</v>
      </c>
      <c r="D12" s="21" t="str">
        <f>Semana_1!D12</f>
        <v>Vera Sanchez Livio Stalin</v>
      </c>
      <c r="E12" s="22" t="str">
        <f>Semana_1!E12</f>
        <v>Maldonado Rojas Pablo Arturo</v>
      </c>
      <c r="F12" s="20" t="str">
        <f>Semana_1!F12</f>
        <v>Ambuludi Silva Fausto Joel</v>
      </c>
      <c r="G12" s="24" t="str">
        <f>Semana_1!G12</f>
        <v>por contratar</v>
      </c>
      <c r="H12" s="23"/>
      <c r="I12" s="5"/>
    </row>
    <row r="13" spans="1:9" s="2" customFormat="1" ht="57.95" customHeight="1">
      <c r="A13" s="13" t="str">
        <f ca="1">IF(B13&gt;0,UPPER(TEXT(B13,"dddd")),"")</f>
        <v>LUNES</v>
      </c>
      <c r="B13" s="6">
        <f ca="1">Semana_1!B19+1</f>
        <v>45999</v>
      </c>
      <c r="C13" s="25" t="s">
        <v>24</v>
      </c>
      <c r="D13" s="18" t="s">
        <v>24</v>
      </c>
      <c r="E13" s="26" t="s">
        <v>25</v>
      </c>
      <c r="F13" s="25" t="s">
        <v>19</v>
      </c>
      <c r="G13" s="28"/>
      <c r="H13" s="29"/>
    </row>
    <row r="14" spans="1:9" s="2" customFormat="1" ht="57.95" customHeight="1">
      <c r="A14" s="14" t="str">
        <f t="shared" ref="A14:A19" ca="1" si="0">IF(B14&gt;0,UPPER(TEXT(B14,"dddd")),"")</f>
        <v>MARTES</v>
      </c>
      <c r="B14" s="16" cm="1">
        <f t="array" aca="1" ref="B14" ca="1">INDIRECT(ADDRESS(ROW()-1,COLUMN()))+1</f>
        <v>46000</v>
      </c>
      <c r="C14" s="30" t="s">
        <v>19</v>
      </c>
      <c r="D14" s="18" t="s">
        <v>19</v>
      </c>
      <c r="E14" s="26" t="s">
        <v>25</v>
      </c>
      <c r="F14" s="31" t="s">
        <v>19</v>
      </c>
      <c r="G14" s="32"/>
      <c r="H14" s="33"/>
    </row>
    <row r="15" spans="1:9" s="2" customFormat="1" ht="57.95" customHeight="1">
      <c r="A15" s="14" t="str">
        <f t="shared" ca="1" si="0"/>
        <v>MIÉRCOLES</v>
      </c>
      <c r="B15" s="16" cm="1">
        <f t="array" aca="1" ref="B15" ca="1">INDIRECT(ADDRESS(ROW()-1,COLUMN()))+1</f>
        <v>46001</v>
      </c>
      <c r="C15" s="30" t="s">
        <v>26</v>
      </c>
      <c r="D15" s="18" t="s">
        <v>26</v>
      </c>
      <c r="E15" s="26" t="s">
        <v>25</v>
      </c>
      <c r="F15" s="31" t="s">
        <v>19</v>
      </c>
      <c r="G15" s="32"/>
      <c r="H15" s="33"/>
    </row>
    <row r="16" spans="1:9" s="2" customFormat="1" ht="57.95" customHeight="1">
      <c r="A16" s="14" t="str">
        <f t="shared" ca="1" si="0"/>
        <v>JUEVES</v>
      </c>
      <c r="B16" s="16" cm="1">
        <f t="array" aca="1" ref="B16" ca="1">INDIRECT(ADDRESS(ROW()-1,COLUMN()))+1</f>
        <v>46002</v>
      </c>
      <c r="C16" s="18" t="s">
        <v>27</v>
      </c>
      <c r="D16" s="18" t="s">
        <v>27</v>
      </c>
      <c r="E16" s="26" t="s">
        <v>25</v>
      </c>
      <c r="F16" s="30" t="s">
        <v>27</v>
      </c>
      <c r="G16" s="32"/>
      <c r="H16" s="33"/>
    </row>
    <row r="17" spans="1:8" s="2" customFormat="1" ht="57.95" customHeight="1">
      <c r="A17" s="14" t="str">
        <f t="shared" ca="1" si="0"/>
        <v>VIERNES</v>
      </c>
      <c r="B17" s="16" cm="1">
        <f t="array" aca="1" ref="B17" ca="1">INDIRECT(ADDRESS(ROW()-1,COLUMN()))+1</f>
        <v>46003</v>
      </c>
      <c r="C17" s="18" t="s">
        <v>28</v>
      </c>
      <c r="D17" s="18" t="s">
        <v>28</v>
      </c>
      <c r="E17" s="26" t="s">
        <v>25</v>
      </c>
      <c r="F17" s="30" t="s">
        <v>28</v>
      </c>
      <c r="G17" s="32"/>
      <c r="H17" s="33"/>
    </row>
    <row r="18" spans="1:8" s="2" customFormat="1" ht="57.95" customHeight="1">
      <c r="A18" s="14" t="str">
        <f t="shared" ca="1" si="0"/>
        <v>SÁBADO</v>
      </c>
      <c r="B18" s="16" cm="1">
        <f t="array" aca="1" ref="B18" ca="1">INDIRECT(ADDRESS(ROW()-1,COLUMN()))+1</f>
        <v>46004</v>
      </c>
      <c r="C18" s="30"/>
      <c r="D18" s="18"/>
      <c r="E18" s="26"/>
      <c r="F18" s="31"/>
      <c r="G18" s="32"/>
      <c r="H18" s="33"/>
    </row>
    <row r="19" spans="1:8" s="2" customFormat="1" ht="57.95" customHeight="1">
      <c r="A19" s="15" t="str">
        <f t="shared" ca="1" si="0"/>
        <v>DOMINGO</v>
      </c>
      <c r="B19" s="17" cm="1">
        <f t="array" aca="1" ref="B19" ca="1">INDIRECT(ADDRESS(ROW()-1,COLUMN()))+1</f>
        <v>46005</v>
      </c>
      <c r="C19" s="34"/>
      <c r="D19" s="35"/>
      <c r="E19" s="36"/>
      <c r="F19" s="37"/>
      <c r="G19" s="38"/>
      <c r="H19" s="39"/>
    </row>
    <row r="20" spans="1:8" s="2" customFormat="1"/>
    <row r="21" spans="1:8" s="2" customFormat="1">
      <c r="F21" s="4"/>
      <c r="G21" s="8"/>
      <c r="H21" s="4" t="str">
        <f ca="1">_xlfn.TEXTJOIN("  ",TRUE,"Fecha de elaboracion:",TEXT(NOW(),"dddd, dd \d\e mmmm yyyy"))</f>
        <v>Fecha de elaboracion:  martes, 16 de diciembre 2025</v>
      </c>
    </row>
  </sheetData>
  <sheetProtection sheet="1" objects="1"/>
  <mergeCells count="5">
    <mergeCell ref="F11:G11"/>
    <mergeCell ref="B8:E10"/>
    <mergeCell ref="A11:A12"/>
    <mergeCell ref="B11:B12"/>
    <mergeCell ref="C11:E11"/>
  </mergeCells>
  <conditionalFormatting sqref="C13:H19">
    <cfRule type="cellIs" dxfId="2" priority="4" operator="equal">
      <formula>"Sin novedad"</formula>
    </cfRule>
  </conditionalFormatting>
  <pageMargins left="0.47244094488188981" right="0.27559055118110237" top="0.31496062992125984" bottom="0.98425196850393704" header="0.15748031496062992" footer="0.31496062992125984"/>
  <pageSetup paperSize="9" scale="77" orientation="landscape" r:id="rId1"/>
  <headerFooter>
    <oddFooter>&amp;L&amp;G&amp;R&amp;G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513F3-F063-4FAB-BCC5-DFC85FBD617E}">
  <dimension ref="A1:I21"/>
  <sheetViews>
    <sheetView zoomScaleNormal="100" zoomScaleSheetLayoutView="100" workbookViewId="0">
      <selection activeCell="E14" sqref="E14"/>
    </sheetView>
  </sheetViews>
  <sheetFormatPr defaultColWidth="9.140625" defaultRowHeight="15"/>
  <cols>
    <col min="1" max="1" width="14.7109375" customWidth="1"/>
    <col min="2" max="2" width="13.140625" customWidth="1"/>
    <col min="3" max="8" width="25.140625" customWidth="1"/>
  </cols>
  <sheetData>
    <row r="1" spans="1:9" s="2" customFormat="1" ht="18.75">
      <c r="A1" s="9" t="s">
        <v>0</v>
      </c>
      <c r="H1" s="10" t="str">
        <f ca="1">"Parte Nro: " &amp; TEXT(MONTH(B13),"000") &amp;"."&amp;TEXT(_xlfn.SHEET(),"00") &amp; "-2025-JZZ-GEOPE"</f>
        <v>Parte Nro: 012.03-2025-JZZ-GEOPE</v>
      </c>
    </row>
    <row r="2" spans="1:9" s="2" customFormat="1" ht="18.75">
      <c r="A2" s="1" t="s">
        <v>1</v>
      </c>
    </row>
    <row r="3" spans="1:9" s="2" customFormat="1" ht="18.75">
      <c r="A3" s="11" t="s">
        <v>2</v>
      </c>
    </row>
    <row r="4" spans="1:9" s="2" customFormat="1" ht="18.75">
      <c r="A4" s="11"/>
    </row>
    <row r="5" spans="1:9" s="2" customFormat="1">
      <c r="A5" s="3" t="s">
        <v>3</v>
      </c>
      <c r="B5" s="2" t="str">
        <f ca="1">IF(MONTH(B13)&lt;&gt;MONTH(B19),"Semana del "&amp; TEXT(B13,"dddd, dd \d\e mmmm") &amp; " al " &amp; TEXT(B19,"dddd, dd \d\e mmmm"),"Semana del "&amp; TEXT(B13,"dddd, dd") &amp; " al " &amp; TEXT(B19,"dddd, dd \d\e mmmm"))</f>
        <v>Semana del lunes, 15 al domingo, 21 de diciembre</v>
      </c>
    </row>
    <row r="6" spans="1:9" s="2" customFormat="1">
      <c r="A6" s="3" t="s">
        <v>4</v>
      </c>
      <c r="B6" s="2" t="s">
        <v>5</v>
      </c>
    </row>
    <row r="7" spans="1:9" s="2" customFormat="1">
      <c r="A7" s="3" t="s">
        <v>6</v>
      </c>
      <c r="B7" s="2" t="s">
        <v>7</v>
      </c>
    </row>
    <row r="8" spans="1:9" s="2" customFormat="1" ht="15" customHeight="1">
      <c r="A8" s="3" t="s">
        <v>8</v>
      </c>
      <c r="B8" s="59" t="str">
        <f>_xlfn.TEXTJOIN(", ", TRUE, C12:H12)</f>
        <v>Mendieta Mendieta Henrry Alexander, Vera Sanchez Livio Stalin, Maldonado Rojas Pablo Arturo, Ambuludi Silva Fausto Joel, por contratar</v>
      </c>
      <c r="C8" s="59"/>
      <c r="D8" s="59"/>
      <c r="E8" s="59"/>
      <c r="H8" s="10"/>
    </row>
    <row r="9" spans="1:9" s="2" customFormat="1">
      <c r="A9" s="3"/>
      <c r="B9" s="59"/>
      <c r="C9" s="59"/>
      <c r="D9" s="59"/>
      <c r="E9" s="59"/>
      <c r="I9" s="7"/>
    </row>
    <row r="10" spans="1:9" s="2" customFormat="1" ht="15.75" thickBot="1">
      <c r="B10" s="60"/>
      <c r="C10" s="60"/>
      <c r="D10" s="60"/>
      <c r="E10" s="60"/>
    </row>
    <row r="11" spans="1:9" s="3" customFormat="1" ht="21.75" customHeight="1">
      <c r="A11" s="61" t="s">
        <v>9</v>
      </c>
      <c r="B11" s="63" t="s">
        <v>10</v>
      </c>
      <c r="C11" s="57" t="s">
        <v>11</v>
      </c>
      <c r="D11" s="65"/>
      <c r="E11" s="65"/>
      <c r="F11" s="57" t="s">
        <v>12</v>
      </c>
      <c r="G11" s="58"/>
      <c r="H11" s="12"/>
      <c r="I11" s="5"/>
    </row>
    <row r="12" spans="1:9" s="3" customFormat="1" ht="37.5" customHeight="1" thickBot="1">
      <c r="A12" s="62"/>
      <c r="B12" s="64"/>
      <c r="C12" s="20" t="str">
        <f>Semana_1!C12</f>
        <v>Mendieta Mendieta Henrry Alexander</v>
      </c>
      <c r="D12" s="21" t="str">
        <f>Semana_1!D12</f>
        <v>Vera Sanchez Livio Stalin</v>
      </c>
      <c r="E12" s="22" t="str">
        <f>Semana_1!E12</f>
        <v>Maldonado Rojas Pablo Arturo</v>
      </c>
      <c r="F12" s="19" t="str">
        <f>Semana_1!F12</f>
        <v>Ambuludi Silva Fausto Joel</v>
      </c>
      <c r="G12" s="24" t="str">
        <f>Semana_1!G12</f>
        <v>por contratar</v>
      </c>
      <c r="H12" s="23"/>
      <c r="I12" s="5"/>
    </row>
    <row r="13" spans="1:9" s="2" customFormat="1" ht="57.95" customHeight="1">
      <c r="A13" s="13" t="str">
        <f ca="1">IF(B13&gt;0,UPPER(TEXT(B13,"dddd")),"")</f>
        <v>LUNES</v>
      </c>
      <c r="B13" s="6">
        <f ca="1">Semana_2!B19+1</f>
        <v>46006</v>
      </c>
      <c r="C13" s="25" t="s">
        <v>19</v>
      </c>
      <c r="D13" s="18" t="s">
        <v>19</v>
      </c>
      <c r="E13" s="26" t="s">
        <v>29</v>
      </c>
      <c r="F13" s="27" t="s">
        <v>19</v>
      </c>
      <c r="G13" s="28"/>
      <c r="H13" s="29"/>
    </row>
    <row r="14" spans="1:9" s="2" customFormat="1" ht="57.95" customHeight="1">
      <c r="A14" s="14" t="str">
        <f t="shared" ref="A14:A19" ca="1" si="0">IF(B14&gt;0,UPPER(TEXT(B14,"dddd")),"")</f>
        <v>MARTES</v>
      </c>
      <c r="B14" s="16" cm="1">
        <f t="array" aca="1" ref="B14" ca="1">INDIRECT(ADDRESS(ROW()-1,COLUMN()))+1</f>
        <v>46007</v>
      </c>
      <c r="C14" s="30" t="s">
        <v>30</v>
      </c>
      <c r="D14" s="18" t="s">
        <v>30</v>
      </c>
      <c r="E14" s="26" t="s">
        <v>30</v>
      </c>
      <c r="F14" s="30" t="s">
        <v>30</v>
      </c>
      <c r="G14" s="32"/>
      <c r="H14" s="33"/>
    </row>
    <row r="15" spans="1:9" s="2" customFormat="1" ht="57.95" customHeight="1">
      <c r="A15" s="14" t="str">
        <f t="shared" ca="1" si="0"/>
        <v>MIÉRCOLES</v>
      </c>
      <c r="B15" s="16" cm="1">
        <f t="array" aca="1" ref="B15" ca="1">INDIRECT(ADDRESS(ROW()-1,COLUMN()))+1</f>
        <v>46008</v>
      </c>
      <c r="C15" s="30" t="s">
        <v>30</v>
      </c>
      <c r="D15" s="18" t="s">
        <v>30</v>
      </c>
      <c r="E15" s="26" t="s">
        <v>30</v>
      </c>
      <c r="F15" s="30" t="s">
        <v>30</v>
      </c>
      <c r="G15" s="32"/>
      <c r="H15" s="33"/>
    </row>
    <row r="16" spans="1:9" s="2" customFormat="1" ht="57.95" customHeight="1">
      <c r="A16" s="14" t="str">
        <f t="shared" ca="1" si="0"/>
        <v>JUEVES</v>
      </c>
      <c r="B16" s="16" cm="1">
        <f t="array" aca="1" ref="B16" ca="1">INDIRECT(ADDRESS(ROW()-1,COLUMN()))+1</f>
        <v>46009</v>
      </c>
      <c r="C16" s="30" t="s">
        <v>19</v>
      </c>
      <c r="D16" s="18" t="s">
        <v>19</v>
      </c>
      <c r="E16" s="26" t="s">
        <v>19</v>
      </c>
      <c r="F16" s="31" t="s">
        <v>19</v>
      </c>
      <c r="G16" s="32"/>
      <c r="H16" s="33"/>
    </row>
    <row r="17" spans="1:8" s="2" customFormat="1" ht="57.95" customHeight="1">
      <c r="A17" s="14" t="str">
        <f t="shared" ca="1" si="0"/>
        <v>VIERNES</v>
      </c>
      <c r="B17" s="16" cm="1">
        <f t="array" aca="1" ref="B17" ca="1">INDIRECT(ADDRESS(ROW()-1,COLUMN()))+1</f>
        <v>46010</v>
      </c>
      <c r="C17" s="30" t="s">
        <v>19</v>
      </c>
      <c r="D17" s="18" t="s">
        <v>19</v>
      </c>
      <c r="E17" s="26" t="s">
        <v>19</v>
      </c>
      <c r="F17" s="31" t="s">
        <v>19</v>
      </c>
      <c r="G17" s="32"/>
      <c r="H17" s="33"/>
    </row>
    <row r="18" spans="1:8" s="2" customFormat="1" ht="57.95" customHeight="1">
      <c r="A18" s="14" t="str">
        <f t="shared" ca="1" si="0"/>
        <v>SÁBADO</v>
      </c>
      <c r="B18" s="16" cm="1">
        <f t="array" aca="1" ref="B18" ca="1">INDIRECT(ADDRESS(ROW()-1,COLUMN()))+1</f>
        <v>46011</v>
      </c>
      <c r="C18" s="30"/>
      <c r="D18" s="18"/>
      <c r="E18" s="26"/>
      <c r="F18" s="31"/>
      <c r="G18" s="32"/>
      <c r="H18" s="33"/>
    </row>
    <row r="19" spans="1:8" s="2" customFormat="1" ht="57.95" customHeight="1">
      <c r="A19" s="15" t="str">
        <f t="shared" ca="1" si="0"/>
        <v>DOMINGO</v>
      </c>
      <c r="B19" s="17" cm="1">
        <f t="array" aca="1" ref="B19" ca="1">INDIRECT(ADDRESS(ROW()-1,COLUMN()))+1</f>
        <v>46012</v>
      </c>
      <c r="C19" s="34"/>
      <c r="D19" s="35"/>
      <c r="E19" s="36"/>
      <c r="F19" s="37"/>
      <c r="G19" s="38"/>
      <c r="H19" s="39"/>
    </row>
    <row r="20" spans="1:8" s="2" customFormat="1"/>
    <row r="21" spans="1:8" s="2" customFormat="1">
      <c r="F21" s="4"/>
      <c r="G21" s="8"/>
      <c r="H21" s="4" t="str">
        <f ca="1">_xlfn.TEXTJOIN("  ",TRUE,"Fecha de elaboracion:",TEXT(NOW(),"dddd, dd \d\e mmmm yyyy"))</f>
        <v>Fecha de elaboracion:  martes, 16 de diciembre 2025</v>
      </c>
    </row>
  </sheetData>
  <sheetProtection sheet="1" objects="1"/>
  <mergeCells count="5">
    <mergeCell ref="F11:G11"/>
    <mergeCell ref="B8:E10"/>
    <mergeCell ref="A11:A12"/>
    <mergeCell ref="B11:B12"/>
    <mergeCell ref="C11:E11"/>
  </mergeCells>
  <conditionalFormatting sqref="C13:H19">
    <cfRule type="cellIs" dxfId="1" priority="4" operator="equal">
      <formula>"Sin novedad"</formula>
    </cfRule>
  </conditionalFormatting>
  <pageMargins left="0.47244094488188981" right="0.27559055118110237" top="0.31496062992125984" bottom="0.98425196850393704" header="0.15748031496062992" footer="0.31496062992125984"/>
  <pageSetup paperSize="9" scale="77" orientation="landscape" r:id="rId1"/>
  <headerFooter>
    <oddFooter>&amp;L&amp;G&amp;R&amp;G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6A36-D817-4EC1-8A1E-275F0BC8DCD9}">
  <dimension ref="A1:I21"/>
  <sheetViews>
    <sheetView zoomScaleNormal="100" zoomScaleSheetLayoutView="100" workbookViewId="0">
      <selection activeCell="H14" sqref="H14"/>
    </sheetView>
  </sheetViews>
  <sheetFormatPr defaultColWidth="9.140625" defaultRowHeight="15"/>
  <cols>
    <col min="1" max="1" width="14.7109375" customWidth="1"/>
    <col min="2" max="2" width="13.140625" customWidth="1"/>
    <col min="3" max="8" width="25.140625" customWidth="1"/>
  </cols>
  <sheetData>
    <row r="1" spans="1:9" s="2" customFormat="1" ht="18.75">
      <c r="A1" s="9" t="s">
        <v>0</v>
      </c>
      <c r="H1" s="10" t="str">
        <f ca="1">"Parte Nro: " &amp; TEXT(MONTH(B13),"000") &amp;"."&amp;TEXT(_xlfn.SHEET(),"00") &amp; "-2025-JZZ-GEOPE"</f>
        <v>Parte Nro: 012.04-2025-JZZ-GEOPE</v>
      </c>
    </row>
    <row r="2" spans="1:9" s="2" customFormat="1" ht="18.75">
      <c r="A2" s="1" t="s">
        <v>1</v>
      </c>
    </row>
    <row r="3" spans="1:9" s="2" customFormat="1" ht="18.75">
      <c r="A3" s="11" t="s">
        <v>2</v>
      </c>
    </row>
    <row r="4" spans="1:9" s="2" customFormat="1" ht="18.75">
      <c r="A4" s="11"/>
    </row>
    <row r="5" spans="1:9" s="2" customFormat="1">
      <c r="A5" s="3" t="s">
        <v>3</v>
      </c>
      <c r="B5" s="2" t="str">
        <f ca="1">IF(MONTH(B13)&lt;&gt;MONTH(B19),"Semana del "&amp; TEXT(B13,"dddd, dd \d\e mmmm") &amp; " al " &amp; TEXT(B19,"dddd, dd \d\e mmmm"),"Semana del "&amp; TEXT(B13,"dddd, dd") &amp; " al " &amp; TEXT(B19,"dddd, dd \d\e mmmm"))</f>
        <v>Semana del lunes, 22 al domingo, 28 de diciembre</v>
      </c>
    </row>
    <row r="6" spans="1:9" s="2" customFormat="1">
      <c r="A6" s="3" t="s">
        <v>4</v>
      </c>
      <c r="B6" s="2" t="s">
        <v>5</v>
      </c>
    </row>
    <row r="7" spans="1:9" s="2" customFormat="1">
      <c r="A7" s="3" t="s">
        <v>6</v>
      </c>
      <c r="B7" s="2" t="s">
        <v>7</v>
      </c>
    </row>
    <row r="8" spans="1:9" s="2" customFormat="1" ht="15" customHeight="1">
      <c r="A8" s="3" t="s">
        <v>8</v>
      </c>
      <c r="B8" s="59" t="str">
        <f>_xlfn.TEXTJOIN(", ", TRUE, C12:H12)</f>
        <v>Mendieta Mendieta Henrry Alexander, Vera Sanchez Livio Stalin, Maldonado Rojas Pablo Arturo, Ambuludi Silva Fausto Joel, por contratar</v>
      </c>
      <c r="C8" s="59"/>
      <c r="D8" s="59"/>
      <c r="E8" s="59"/>
      <c r="H8" s="10"/>
    </row>
    <row r="9" spans="1:9" s="2" customFormat="1">
      <c r="A9" s="3"/>
      <c r="B9" s="59"/>
      <c r="C9" s="59"/>
      <c r="D9" s="59"/>
      <c r="E9" s="59"/>
      <c r="I9" s="7"/>
    </row>
    <row r="10" spans="1:9" s="2" customFormat="1" ht="15.75" thickBot="1">
      <c r="B10" s="60"/>
      <c r="C10" s="60"/>
      <c r="D10" s="60"/>
      <c r="E10" s="60"/>
    </row>
    <row r="11" spans="1:9" s="3" customFormat="1" ht="21.75" customHeight="1">
      <c r="A11" s="61" t="s">
        <v>9</v>
      </c>
      <c r="B11" s="63" t="s">
        <v>10</v>
      </c>
      <c r="C11" s="57" t="s">
        <v>11</v>
      </c>
      <c r="D11" s="65"/>
      <c r="E11" s="65"/>
      <c r="F11" s="57" t="s">
        <v>12</v>
      </c>
      <c r="G11" s="58"/>
      <c r="H11" s="12"/>
      <c r="I11" s="5"/>
    </row>
    <row r="12" spans="1:9" s="3" customFormat="1" ht="37.5" customHeight="1" thickBot="1">
      <c r="A12" s="62"/>
      <c r="B12" s="64"/>
      <c r="C12" s="20" t="str">
        <f>Semana_1!C12</f>
        <v>Mendieta Mendieta Henrry Alexander</v>
      </c>
      <c r="D12" s="21" t="str">
        <f>Semana_1!D12</f>
        <v>Vera Sanchez Livio Stalin</v>
      </c>
      <c r="E12" s="22" t="str">
        <f>Semana_1!E12</f>
        <v>Maldonado Rojas Pablo Arturo</v>
      </c>
      <c r="F12" s="19" t="str">
        <f>Semana_1!F12</f>
        <v>Ambuludi Silva Fausto Joel</v>
      </c>
      <c r="G12" s="24" t="str">
        <f>Semana_1!G12</f>
        <v>por contratar</v>
      </c>
      <c r="H12" s="23"/>
      <c r="I12" s="5"/>
    </row>
    <row r="13" spans="1:9" s="2" customFormat="1" ht="57.95" customHeight="1">
      <c r="A13" s="13" t="str">
        <f ca="1">IF(B13&gt;0,UPPER(TEXT(B13,"dddd")),"")</f>
        <v>LUNES</v>
      </c>
      <c r="B13" s="6">
        <f ca="1">Semana_3!B19+1</f>
        <v>46013</v>
      </c>
      <c r="C13" s="25" t="s">
        <v>19</v>
      </c>
      <c r="D13" s="18" t="s">
        <v>19</v>
      </c>
      <c r="E13" s="26" t="s">
        <v>19</v>
      </c>
      <c r="F13" s="25" t="s">
        <v>31</v>
      </c>
      <c r="G13" s="28"/>
      <c r="H13" s="29"/>
    </row>
    <row r="14" spans="1:9" s="2" customFormat="1" ht="57.95" customHeight="1">
      <c r="A14" s="14" t="str">
        <f t="shared" ref="A14:A19" ca="1" si="0">IF(B14&gt;0,UPPER(TEXT(B14,"dddd")),"")</f>
        <v>MARTES</v>
      </c>
      <c r="B14" s="16" cm="1">
        <f t="array" aca="1" ref="B14" ca="1">INDIRECT(ADDRESS(ROW()-1,COLUMN()))+1</f>
        <v>46014</v>
      </c>
      <c r="C14" s="30" t="s">
        <v>30</v>
      </c>
      <c r="D14" s="18" t="s">
        <v>30</v>
      </c>
      <c r="E14" s="26" t="s">
        <v>30</v>
      </c>
      <c r="F14" s="30" t="s">
        <v>30</v>
      </c>
      <c r="G14" s="32"/>
      <c r="H14" s="33"/>
    </row>
    <row r="15" spans="1:9" s="2" customFormat="1" ht="57.95" customHeight="1">
      <c r="A15" s="14" t="str">
        <f t="shared" ca="1" si="0"/>
        <v>MIÉRCOLES</v>
      </c>
      <c r="B15" s="16" cm="1">
        <f t="array" aca="1" ref="B15" ca="1">INDIRECT(ADDRESS(ROW()-1,COLUMN()))+1</f>
        <v>46015</v>
      </c>
      <c r="C15" s="30" t="s">
        <v>30</v>
      </c>
      <c r="D15" s="18" t="s">
        <v>30</v>
      </c>
      <c r="E15" s="26" t="s">
        <v>30</v>
      </c>
      <c r="F15" s="30" t="s">
        <v>32</v>
      </c>
      <c r="G15" s="32"/>
      <c r="H15" s="33"/>
    </row>
    <row r="16" spans="1:9" s="2" customFormat="1" ht="57.95" customHeight="1">
      <c r="A16" s="14" t="str">
        <f t="shared" ca="1" si="0"/>
        <v>JUEVES</v>
      </c>
      <c r="B16" s="16" cm="1">
        <f t="array" aca="1" ref="B16" ca="1">INDIRECT(ADDRESS(ROW()-1,COLUMN()))+1</f>
        <v>46016</v>
      </c>
      <c r="C16" s="30" t="s">
        <v>30</v>
      </c>
      <c r="D16" s="18" t="s">
        <v>30</v>
      </c>
      <c r="E16" s="26" t="s">
        <v>30</v>
      </c>
      <c r="F16" s="30" t="s">
        <v>30</v>
      </c>
      <c r="G16" s="32"/>
      <c r="H16" s="33"/>
    </row>
    <row r="17" spans="1:8" s="2" customFormat="1" ht="57.95" customHeight="1">
      <c r="A17" s="14" t="str">
        <f t="shared" ca="1" si="0"/>
        <v>VIERNES</v>
      </c>
      <c r="B17" s="16" cm="1">
        <f t="array" aca="1" ref="B17" ca="1">INDIRECT(ADDRESS(ROW()-1,COLUMN()))+1</f>
        <v>46017</v>
      </c>
      <c r="C17" s="30" t="s">
        <v>19</v>
      </c>
      <c r="D17" s="18" t="s">
        <v>33</v>
      </c>
      <c r="E17" s="26" t="s">
        <v>19</v>
      </c>
      <c r="F17" s="30" t="s">
        <v>19</v>
      </c>
      <c r="G17" s="32"/>
      <c r="H17" s="33"/>
    </row>
    <row r="18" spans="1:8" s="2" customFormat="1" ht="57.95" customHeight="1">
      <c r="A18" s="14" t="str">
        <f t="shared" ca="1" si="0"/>
        <v>SÁBADO</v>
      </c>
      <c r="B18" s="16" cm="1">
        <f t="array" aca="1" ref="B18" ca="1">INDIRECT(ADDRESS(ROW()-1,COLUMN()))+1</f>
        <v>46018</v>
      </c>
      <c r="C18" s="30"/>
      <c r="D18" s="18"/>
      <c r="E18" s="26"/>
      <c r="F18" s="31"/>
      <c r="G18" s="32"/>
      <c r="H18" s="33"/>
    </row>
    <row r="19" spans="1:8" s="2" customFormat="1" ht="57.95" customHeight="1">
      <c r="A19" s="15" t="str">
        <f t="shared" ca="1" si="0"/>
        <v>DOMINGO</v>
      </c>
      <c r="B19" s="17" cm="1">
        <f t="array" aca="1" ref="B19" ca="1">INDIRECT(ADDRESS(ROW()-1,COLUMN()))+1</f>
        <v>46019</v>
      </c>
      <c r="C19" s="34"/>
      <c r="D19" s="35"/>
      <c r="E19" s="36"/>
      <c r="F19" s="37"/>
      <c r="G19" s="38"/>
      <c r="H19" s="39"/>
    </row>
    <row r="20" spans="1:8" s="2" customFormat="1"/>
    <row r="21" spans="1:8" s="2" customFormat="1">
      <c r="F21" s="4"/>
      <c r="G21" s="8"/>
      <c r="H21" s="4" t="str">
        <f ca="1">_xlfn.TEXTJOIN("  ",TRUE,"Fecha de elaboracion:",TEXT(NOW(),"dddd, dd \d\e mmmm yyyy"))</f>
        <v>Fecha de elaboracion:  martes, 16 de diciembre 2025</v>
      </c>
    </row>
  </sheetData>
  <sheetProtection sheet="1" objects="1"/>
  <mergeCells count="5">
    <mergeCell ref="F11:G11"/>
    <mergeCell ref="B8:E10"/>
    <mergeCell ref="A11:A12"/>
    <mergeCell ref="B11:B12"/>
    <mergeCell ref="C11:E11"/>
  </mergeCells>
  <conditionalFormatting sqref="C13:H19">
    <cfRule type="cellIs" dxfId="0" priority="4" operator="equal">
      <formula>"Sin novedad"</formula>
    </cfRule>
  </conditionalFormatting>
  <pageMargins left="0.47244094488188981" right="0.27559055118110237" top="0.31496062992125984" bottom="0.98425196850393704" header="0.15748031496062992" footer="0.31496062992125984"/>
  <pageSetup paperSize="9" scale="77" orientation="landscape" r:id="rId1"/>
  <headerFooter>
    <oddFooter>&amp;L&amp;G&amp;R&amp;G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ernesto</dc:creator>
  <cp:keywords/>
  <dc:description/>
  <cp:lastModifiedBy>Ernesto Vladimir Palacios Merino</cp:lastModifiedBy>
  <cp:revision/>
  <dcterms:created xsi:type="dcterms:W3CDTF">2015-06-05T18:19:34Z</dcterms:created>
  <dcterms:modified xsi:type="dcterms:W3CDTF">2025-12-16T15:35:57Z</dcterms:modified>
  <cp:category/>
  <cp:contentStatus/>
</cp:coreProperties>
</file>